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parker_j_violand_vanderbilt_edu/Documents/"/>
    </mc:Choice>
  </mc:AlternateContent>
  <xr:revisionPtr revIDLastSave="0" documentId="8_{CB50ADE9-C4DB-461D-9D22-7D563E090494}" xr6:coauthVersionLast="47" xr6:coauthVersionMax="47" xr10:uidLastSave="{00000000-0000-0000-0000-000000000000}"/>
  <bookViews>
    <workbookView xWindow="7392" yWindow="0" windowWidth="13332" windowHeight="12318" xr2:uid="{AF908265-D1B3-449E-9823-2B584A36AD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L37" i="1"/>
  <c r="L36" i="1"/>
  <c r="L35" i="1"/>
  <c r="I34" i="1"/>
  <c r="L34" i="1" s="1"/>
  <c r="L33" i="1"/>
  <c r="L32" i="1"/>
  <c r="L31" i="1"/>
  <c r="L30" i="1"/>
  <c r="L29" i="1"/>
  <c r="L28" i="1"/>
  <c r="L27" i="1"/>
  <c r="L26" i="1"/>
  <c r="L25" i="1"/>
  <c r="L22" i="1"/>
  <c r="B22" i="1"/>
  <c r="L21" i="1"/>
  <c r="B21" i="1"/>
  <c r="L20" i="1"/>
  <c r="B20" i="1"/>
  <c r="L19" i="1"/>
  <c r="B19" i="1"/>
  <c r="L18" i="1"/>
  <c r="B18" i="1"/>
  <c r="L17" i="1"/>
  <c r="B17" i="1"/>
  <c r="L10" i="1"/>
  <c r="I6" i="1"/>
  <c r="L6" i="1" s="1"/>
  <c r="L9" i="1"/>
  <c r="L8" i="1"/>
  <c r="L7" i="1"/>
  <c r="L5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<sst xmlns="http://schemas.openxmlformats.org/spreadsheetml/2006/main" count="87" uniqueCount="34">
  <si>
    <t>Yielding Section</t>
  </si>
  <si>
    <t>Buckling Section</t>
  </si>
  <si>
    <t>Internal Stress (σ)</t>
  </si>
  <si>
    <r>
      <t>σ</t>
    </r>
    <r>
      <rPr>
        <vertAlign val="subscript"/>
        <sz val="11"/>
        <color theme="1"/>
        <rFont val="Aptos Narrow"/>
        <family val="2"/>
        <scheme val="minor"/>
      </rPr>
      <t xml:space="preserve">y </t>
    </r>
    <r>
      <rPr>
        <sz val="11"/>
        <color theme="1"/>
        <rFont val="Aptos Narrow"/>
        <family val="2"/>
        <scheme val="minor"/>
      </rPr>
      <t xml:space="preserve"> (what you get from the model)</t>
    </r>
  </si>
  <si>
    <r>
      <t>C &lt;N</t>
    </r>
    <r>
      <rPr>
        <vertAlign val="subscript"/>
        <sz val="11"/>
        <color theme="1"/>
        <rFont val="Aptos Narrow"/>
        <family val="2"/>
        <scheme val="minor"/>
      </rPr>
      <t>critical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</si>
  <si>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cr = (pi)^2EI / (kl)^2</t>
    </r>
  </si>
  <si>
    <t>T/A = σ</t>
  </si>
  <si>
    <t>36300 psi</t>
  </si>
  <si>
    <t>Members</t>
  </si>
  <si>
    <t>σ:</t>
  </si>
  <si>
    <t>Tension Values (lb):</t>
  </si>
  <si>
    <r>
      <rPr>
        <sz val="11"/>
        <color rgb="FF000000"/>
        <rFont val="Aptos Narrow"/>
        <family val="2"/>
        <scheme val="minor"/>
      </rPr>
      <t>Area (in</t>
    </r>
    <r>
      <rPr>
        <vertAlign val="superscript"/>
        <sz val="11"/>
        <color rgb="FF000000"/>
        <rFont val="Aptos Narrow"/>
        <family val="2"/>
        <scheme val="minor"/>
      </rPr>
      <t>2</t>
    </r>
    <r>
      <rPr>
        <sz val="11"/>
        <color rgb="FF000000"/>
        <rFont val="Aptos Narrow"/>
        <family val="2"/>
        <scheme val="minor"/>
      </rPr>
      <t>)</t>
    </r>
  </si>
  <si>
    <r>
      <t>E (lb/in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</si>
  <si>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I (lbf.in)</t>
  </si>
  <si>
    <t>k</t>
  </si>
  <si>
    <t>L (in)</t>
  </si>
  <si>
    <r>
      <t>Area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</si>
  <si>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Compression Values (lb)</t>
  </si>
  <si>
    <r>
      <t>N</t>
    </r>
    <r>
      <rPr>
        <vertAlign val="subscript"/>
        <sz val="11"/>
        <color theme="1"/>
        <rFont val="Aptos Narrow"/>
        <family val="2"/>
        <scheme val="minor"/>
      </rPr>
      <t>cr</t>
    </r>
  </si>
  <si>
    <t>CD</t>
  </si>
  <si>
    <t>ED</t>
  </si>
  <si>
    <t>HC</t>
  </si>
  <si>
    <t>FC</t>
  </si>
  <si>
    <t>EF</t>
  </si>
  <si>
    <t>AB</t>
  </si>
  <si>
    <t>FG</t>
  </si>
  <si>
    <t>BC</t>
  </si>
  <si>
    <t>HG</t>
  </si>
  <si>
    <t>BH</t>
  </si>
  <si>
    <t>AH</t>
  </si>
  <si>
    <t>Theoretical Length Values</t>
  </si>
  <si>
    <t>Lab Length Values</t>
  </si>
  <si>
    <t>DF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</si>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</sst>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64B0-570B-492E-BBEE-2B8C03412A81}">
  <dimension ref="A1:L38"/>
  <sheetViews>
    <sheetView tabSelected="1" topLeftCell="A11" zoomScale="52" zoomScaleNormal="77" workbookViewId="0">
      <selection activeCell="J14" sqref="J14"/>
    </sheetView>
  </sheetViews>
  <sheetFormatPr defaultRowHeight="15"/>
  <cols>
    <col min="1" max="1" width="8" bestFit="1" customWidth="1"/>
    <col min="2" max="2" width="14.5703125" bestFit="1" customWidth="1"/>
    <col min="3" max="3" width="26.28515625" bestFit="1" customWidth="1"/>
    <col min="4" max="4" width="8.140625" bestFit="1" customWidth="1"/>
    <col min="6" max="6" width="14" bestFit="1" customWidth="1"/>
    <col min="7" max="7" width="10" bestFit="1" customWidth="1"/>
    <col min="8" max="8" width="2.140625" bestFit="1" customWidth="1"/>
    <col min="9" max="9" width="11" bestFit="1" customWidth="1"/>
    <col min="10" max="10" width="8.140625" bestFit="1" customWidth="1"/>
    <col min="11" max="11" width="20.140625" bestFit="1" customWidth="1"/>
    <col min="12" max="12" width="12.140625" bestFit="1" customWidth="1"/>
  </cols>
  <sheetData>
    <row r="1" spans="1:12">
      <c r="B1" t="s">
        <v>0</v>
      </c>
      <c r="F1" t="s">
        <v>1</v>
      </c>
    </row>
    <row r="2" spans="1:12" ht="18">
      <c r="B2" t="s">
        <v>2</v>
      </c>
      <c r="C2" t="s">
        <v>3</v>
      </c>
      <c r="F2" t="s">
        <v>4</v>
      </c>
      <c r="G2" t="s">
        <v>5</v>
      </c>
    </row>
    <row r="3" spans="1:12">
      <c r="B3" t="s">
        <v>6</v>
      </c>
      <c r="C3" t="s">
        <v>7</v>
      </c>
    </row>
    <row r="4" spans="1:12" ht="18">
      <c r="A4" t="s">
        <v>8</v>
      </c>
      <c r="B4" t="s">
        <v>9</v>
      </c>
      <c r="C4" t="s">
        <v>10</v>
      </c>
      <c r="D4" s="3" t="s">
        <v>11</v>
      </c>
      <c r="E4" t="s">
        <v>8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</row>
    <row r="5" spans="1:12">
      <c r="A5" t="s">
        <v>19</v>
      </c>
      <c r="B5" s="2">
        <f t="shared" ref="B5:B10" si="0">C5/D5</f>
        <v>304.48275862068965</v>
      </c>
      <c r="C5">
        <v>88.3</v>
      </c>
      <c r="D5">
        <v>0.28999999999999998</v>
      </c>
      <c r="E5" t="s">
        <v>20</v>
      </c>
      <c r="F5" s="1">
        <v>29000000</v>
      </c>
      <c r="G5">
        <v>1.5699999999999999E-2</v>
      </c>
      <c r="H5">
        <v>1</v>
      </c>
      <c r="I5">
        <v>12</v>
      </c>
      <c r="J5">
        <v>0.28999999999999998</v>
      </c>
      <c r="K5">
        <v>87.7</v>
      </c>
      <c r="L5">
        <f t="shared" ref="L5:L10" si="1">((PI())^2*$F$5*G5)/($H$5*I5)^2</f>
        <v>31205.770026499889</v>
      </c>
    </row>
    <row r="6" spans="1:12">
      <c r="A6" t="s">
        <v>21</v>
      </c>
      <c r="B6" s="2">
        <f t="shared" si="0"/>
        <v>946.15384615384608</v>
      </c>
      <c r="C6">
        <v>123</v>
      </c>
      <c r="D6">
        <v>0.13</v>
      </c>
      <c r="E6" t="s">
        <v>22</v>
      </c>
      <c r="F6" s="1"/>
      <c r="G6">
        <v>1.7899999999999999E-4</v>
      </c>
      <c r="I6">
        <f>12*SQRT(2)</f>
        <v>16.970562748477143</v>
      </c>
      <c r="J6">
        <v>0.13</v>
      </c>
      <c r="K6">
        <v>124</v>
      </c>
      <c r="L6">
        <f t="shared" si="1"/>
        <v>177.89276543769043</v>
      </c>
    </row>
    <row r="7" spans="1:12">
      <c r="A7" t="s">
        <v>23</v>
      </c>
      <c r="B7" s="2">
        <f t="shared" si="0"/>
        <v>953.84615384615381</v>
      </c>
      <c r="C7">
        <v>124</v>
      </c>
      <c r="D7">
        <v>0.13</v>
      </c>
      <c r="E7" t="s">
        <v>24</v>
      </c>
      <c r="F7" s="1"/>
      <c r="G7">
        <v>1.5699999999999999E-2</v>
      </c>
      <c r="I7">
        <v>12</v>
      </c>
      <c r="J7">
        <v>0.28999999999999998</v>
      </c>
      <c r="K7">
        <v>263</v>
      </c>
      <c r="L7">
        <f t="shared" si="1"/>
        <v>31205.770026499889</v>
      </c>
    </row>
    <row r="8" spans="1:12">
      <c r="A8" t="s">
        <v>25</v>
      </c>
      <c r="B8" s="2">
        <f t="shared" si="0"/>
        <v>1346.1538461538462</v>
      </c>
      <c r="C8">
        <v>175</v>
      </c>
      <c r="D8">
        <v>0.13</v>
      </c>
      <c r="E8" t="s">
        <v>26</v>
      </c>
      <c r="F8" s="1"/>
      <c r="G8">
        <v>1.5699999999999999E-2</v>
      </c>
      <c r="I8">
        <v>12</v>
      </c>
      <c r="J8">
        <v>0.28999999999999998</v>
      </c>
      <c r="K8">
        <v>263</v>
      </c>
      <c r="L8">
        <f t="shared" si="1"/>
        <v>31205.770026499889</v>
      </c>
    </row>
    <row r="9" spans="1:12">
      <c r="A9" t="s">
        <v>27</v>
      </c>
      <c r="B9" s="2">
        <f t="shared" si="0"/>
        <v>1353.8461538461538</v>
      </c>
      <c r="C9">
        <v>176</v>
      </c>
      <c r="D9">
        <v>0.13</v>
      </c>
      <c r="E9" t="s">
        <v>28</v>
      </c>
      <c r="F9" s="1"/>
      <c r="G9">
        <v>1.7899999999999999E-4</v>
      </c>
      <c r="I9">
        <v>12</v>
      </c>
      <c r="J9">
        <v>0.13</v>
      </c>
      <c r="K9">
        <v>350</v>
      </c>
      <c r="L9">
        <f t="shared" si="1"/>
        <v>355.78553087538091</v>
      </c>
    </row>
    <row r="10" spans="1:12">
      <c r="A10" t="s">
        <v>29</v>
      </c>
      <c r="B10" s="2">
        <f t="shared" si="0"/>
        <v>2861.5384615384614</v>
      </c>
      <c r="C10">
        <v>372</v>
      </c>
      <c r="D10">
        <v>0.13</v>
      </c>
      <c r="E10" t="s">
        <v>19</v>
      </c>
      <c r="F10" s="1"/>
      <c r="G10">
        <v>1.5699999999999999E-2</v>
      </c>
      <c r="I10">
        <v>12</v>
      </c>
      <c r="J10">
        <v>0.28999999999999998</v>
      </c>
      <c r="K10">
        <v>88.3</v>
      </c>
      <c r="L10">
        <f t="shared" si="1"/>
        <v>31205.770026499889</v>
      </c>
    </row>
    <row r="11" spans="1:12">
      <c r="C11" t="s">
        <v>30</v>
      </c>
    </row>
    <row r="13" spans="1:12">
      <c r="B13" t="s">
        <v>0</v>
      </c>
      <c r="F13" t="s">
        <v>1</v>
      </c>
    </row>
    <row r="14" spans="1:12" ht="18">
      <c r="B14" t="s">
        <v>2</v>
      </c>
      <c r="C14" t="s">
        <v>3</v>
      </c>
      <c r="F14" t="s">
        <v>4</v>
      </c>
      <c r="G14" t="s">
        <v>5</v>
      </c>
    </row>
    <row r="15" spans="1:12">
      <c r="B15" t="s">
        <v>6</v>
      </c>
      <c r="C15" t="s">
        <v>7</v>
      </c>
    </row>
    <row r="16" spans="1:12" ht="18">
      <c r="A16" t="s">
        <v>8</v>
      </c>
      <c r="B16" t="s">
        <v>9</v>
      </c>
      <c r="C16" t="s">
        <v>10</v>
      </c>
      <c r="D16" s="3" t="s">
        <v>11</v>
      </c>
      <c r="E16" t="s">
        <v>8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 t="s">
        <v>17</v>
      </c>
      <c r="L16" t="s">
        <v>18</v>
      </c>
    </row>
    <row r="17" spans="1:12">
      <c r="A17" t="s">
        <v>19</v>
      </c>
      <c r="B17" s="2">
        <f t="shared" ref="B17:B22" si="2">C17/D17</f>
        <v>304.48275862068965</v>
      </c>
      <c r="C17">
        <v>88.3</v>
      </c>
      <c r="D17">
        <v>0.28999999999999998</v>
      </c>
      <c r="E17" t="s">
        <v>20</v>
      </c>
      <c r="F17" s="1">
        <v>29000000</v>
      </c>
      <c r="G17">
        <v>1.5699999999999999E-2</v>
      </c>
      <c r="H17">
        <v>1</v>
      </c>
      <c r="I17">
        <v>10.25</v>
      </c>
      <c r="J17">
        <v>0.28999999999999998</v>
      </c>
      <c r="K17">
        <v>87.7</v>
      </c>
      <c r="L17">
        <f t="shared" ref="L17:L22" si="3">((PI())^2*$F$5*G17)/($H$5*I17)^2</f>
        <v>42771.025663923705</v>
      </c>
    </row>
    <row r="18" spans="1:12">
      <c r="A18" t="s">
        <v>21</v>
      </c>
      <c r="B18" s="2">
        <f t="shared" si="2"/>
        <v>946.15384615384608</v>
      </c>
      <c r="C18">
        <v>123</v>
      </c>
      <c r="D18">
        <v>0.13</v>
      </c>
      <c r="E18" t="s">
        <v>22</v>
      </c>
      <c r="F18" s="1"/>
      <c r="G18">
        <v>1.7899999999999999E-4</v>
      </c>
      <c r="I18">
        <v>13.375</v>
      </c>
      <c r="J18">
        <v>0.13</v>
      </c>
      <c r="K18">
        <v>124</v>
      </c>
      <c r="L18">
        <f t="shared" si="3"/>
        <v>286.39352367433929</v>
      </c>
    </row>
    <row r="19" spans="1:12">
      <c r="A19" t="s">
        <v>23</v>
      </c>
      <c r="B19" s="2">
        <f t="shared" si="2"/>
        <v>953.84615384615381</v>
      </c>
      <c r="C19">
        <v>124</v>
      </c>
      <c r="D19">
        <v>0.13</v>
      </c>
      <c r="E19" t="s">
        <v>24</v>
      </c>
      <c r="F19" s="1"/>
      <c r="G19">
        <v>1.5699999999999999E-2</v>
      </c>
      <c r="I19">
        <v>10.5625</v>
      </c>
      <c r="J19">
        <v>0.28999999999999998</v>
      </c>
      <c r="K19">
        <v>263</v>
      </c>
      <c r="L19">
        <f t="shared" si="3"/>
        <v>40277.634055421448</v>
      </c>
    </row>
    <row r="20" spans="1:12">
      <c r="A20" t="s">
        <v>25</v>
      </c>
      <c r="B20" s="2">
        <f t="shared" si="2"/>
        <v>1346.1538461538462</v>
      </c>
      <c r="C20">
        <v>175</v>
      </c>
      <c r="D20">
        <v>0.13</v>
      </c>
      <c r="E20" t="s">
        <v>26</v>
      </c>
      <c r="F20" s="1"/>
      <c r="G20">
        <v>1.5699999999999999E-2</v>
      </c>
      <c r="I20">
        <v>10.0625</v>
      </c>
      <c r="J20">
        <v>0.28999999999999998</v>
      </c>
      <c r="K20">
        <v>263</v>
      </c>
      <c r="L20">
        <f t="shared" si="3"/>
        <v>44379.827408544887</v>
      </c>
    </row>
    <row r="21" spans="1:12">
      <c r="A21" t="s">
        <v>27</v>
      </c>
      <c r="B21" s="2">
        <f t="shared" si="2"/>
        <v>1353.8461538461538</v>
      </c>
      <c r="C21">
        <v>176</v>
      </c>
      <c r="D21">
        <v>0.13</v>
      </c>
      <c r="E21" t="s">
        <v>28</v>
      </c>
      <c r="F21" s="1"/>
      <c r="G21">
        <v>1.7899999999999999E-4</v>
      </c>
      <c r="I21">
        <v>10.125</v>
      </c>
      <c r="J21">
        <v>0.13</v>
      </c>
      <c r="K21">
        <v>350</v>
      </c>
      <c r="L21">
        <f t="shared" si="3"/>
        <v>499.75909961096033</v>
      </c>
    </row>
    <row r="22" spans="1:12">
      <c r="A22" t="s">
        <v>29</v>
      </c>
      <c r="B22" s="2">
        <f t="shared" si="2"/>
        <v>2861.5384615384614</v>
      </c>
      <c r="C22">
        <v>372</v>
      </c>
      <c r="D22">
        <v>0.13</v>
      </c>
      <c r="E22" t="s">
        <v>19</v>
      </c>
      <c r="F22" s="1"/>
      <c r="G22">
        <v>1.5699999999999999E-2</v>
      </c>
      <c r="I22">
        <v>10.725</v>
      </c>
      <c r="J22">
        <v>0.28999999999999998</v>
      </c>
      <c r="K22">
        <v>88.3</v>
      </c>
      <c r="L22">
        <f t="shared" si="3"/>
        <v>39066.34616257016</v>
      </c>
    </row>
    <row r="23" spans="1:12">
      <c r="C23" t="s">
        <v>31</v>
      </c>
    </row>
    <row r="24" spans="1:12" ht="18">
      <c r="D24" s="3"/>
      <c r="E24" t="s">
        <v>8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  <c r="L24" t="s">
        <v>18</v>
      </c>
    </row>
    <row r="25" spans="1:12">
      <c r="E25" t="s">
        <v>19</v>
      </c>
      <c r="F25" s="1">
        <v>29000000</v>
      </c>
      <c r="G25">
        <v>1.5699999999999999E-2</v>
      </c>
      <c r="H25">
        <v>1</v>
      </c>
      <c r="I25">
        <v>12</v>
      </c>
      <c r="J25">
        <v>0.28999999999999998</v>
      </c>
      <c r="L25">
        <f t="shared" ref="L25:L38" si="4">((PI())^2*$F$5*G25)/($H$5*I25)^2</f>
        <v>31205.770026499889</v>
      </c>
    </row>
    <row r="26" spans="1:12">
      <c r="E26" t="s">
        <v>21</v>
      </c>
      <c r="F26" s="1"/>
      <c r="G26">
        <v>1.7899999999999999E-4</v>
      </c>
      <c r="I26">
        <v>17</v>
      </c>
      <c r="J26">
        <v>0.13</v>
      </c>
      <c r="L26">
        <f t="shared" si="4"/>
        <v>177.27721953652198</v>
      </c>
    </row>
    <row r="27" spans="1:12">
      <c r="E27" t="s">
        <v>23</v>
      </c>
      <c r="F27" s="1"/>
      <c r="G27">
        <v>1.7899999999999999E-4</v>
      </c>
      <c r="I27">
        <v>17</v>
      </c>
      <c r="J27">
        <v>0.13</v>
      </c>
      <c r="L27">
        <f t="shared" si="4"/>
        <v>177.27721953652198</v>
      </c>
    </row>
    <row r="28" spans="1:12">
      <c r="E28" t="s">
        <v>25</v>
      </c>
      <c r="F28" s="1"/>
      <c r="G28">
        <v>1.7899999999999999E-4</v>
      </c>
      <c r="I28">
        <v>12</v>
      </c>
      <c r="J28">
        <v>0.13</v>
      </c>
      <c r="L28">
        <f t="shared" si="4"/>
        <v>355.78553087538091</v>
      </c>
    </row>
    <row r="29" spans="1:12">
      <c r="E29" t="s">
        <v>27</v>
      </c>
      <c r="F29" s="1"/>
      <c r="G29">
        <v>1.7899999999999999E-4</v>
      </c>
      <c r="I29">
        <v>12</v>
      </c>
      <c r="J29">
        <v>0.13</v>
      </c>
      <c r="L29">
        <f t="shared" si="4"/>
        <v>355.78553087538091</v>
      </c>
    </row>
    <row r="30" spans="1:12">
      <c r="E30" t="s">
        <v>29</v>
      </c>
      <c r="F30" s="1"/>
      <c r="G30">
        <v>1.7899999999999999E-4</v>
      </c>
      <c r="I30">
        <v>17</v>
      </c>
      <c r="J30">
        <v>0.13</v>
      </c>
      <c r="L30">
        <f t="shared" si="4"/>
        <v>177.27721953652198</v>
      </c>
    </row>
    <row r="31" spans="1:12">
      <c r="E31" t="s">
        <v>32</v>
      </c>
      <c r="G31">
        <v>1.7899999999999999E-4</v>
      </c>
      <c r="I31">
        <v>12</v>
      </c>
      <c r="J31">
        <v>0.13</v>
      </c>
      <c r="L31">
        <f t="shared" si="4"/>
        <v>355.78553087538091</v>
      </c>
    </row>
    <row r="32" spans="1:12">
      <c r="E32" t="s">
        <v>33</v>
      </c>
      <c r="G32">
        <v>1.7899999999999999E-4</v>
      </c>
      <c r="I32">
        <v>17</v>
      </c>
      <c r="J32">
        <v>0.13</v>
      </c>
      <c r="L32">
        <f t="shared" si="4"/>
        <v>177.27721953652198</v>
      </c>
    </row>
    <row r="33" spans="5:12">
      <c r="E33" t="s">
        <v>20</v>
      </c>
      <c r="F33" s="1"/>
      <c r="G33">
        <v>1.5699999999999999E-2</v>
      </c>
      <c r="I33">
        <v>12</v>
      </c>
      <c r="J33">
        <v>0.28999999999999998</v>
      </c>
      <c r="L33">
        <f t="shared" si="4"/>
        <v>31205.770026499889</v>
      </c>
    </row>
    <row r="34" spans="5:12">
      <c r="E34" t="s">
        <v>22</v>
      </c>
      <c r="F34" s="1"/>
      <c r="G34">
        <v>1.7899999999999999E-4</v>
      </c>
      <c r="I34">
        <f>12*SQRT(2)</f>
        <v>16.970562748477143</v>
      </c>
      <c r="J34">
        <v>0.13</v>
      </c>
      <c r="L34">
        <f t="shared" si="4"/>
        <v>177.89276543769043</v>
      </c>
    </row>
    <row r="35" spans="5:12">
      <c r="E35" t="s">
        <v>24</v>
      </c>
      <c r="F35" s="1"/>
      <c r="G35">
        <v>1.5699999999999999E-2</v>
      </c>
      <c r="I35">
        <v>12</v>
      </c>
      <c r="J35">
        <v>0.28999999999999998</v>
      </c>
      <c r="L35">
        <f t="shared" si="4"/>
        <v>31205.770026499889</v>
      </c>
    </row>
    <row r="36" spans="5:12">
      <c r="E36" t="s">
        <v>26</v>
      </c>
      <c r="F36" s="1"/>
      <c r="G36">
        <v>1.5699999999999999E-2</v>
      </c>
      <c r="I36">
        <v>12</v>
      </c>
      <c r="J36">
        <v>0.28999999999999998</v>
      </c>
      <c r="L36">
        <f t="shared" si="4"/>
        <v>31205.770026499889</v>
      </c>
    </row>
    <row r="37" spans="5:12">
      <c r="E37" t="s">
        <v>28</v>
      </c>
      <c r="F37" s="1"/>
      <c r="G37">
        <v>1.7899999999999999E-4</v>
      </c>
      <c r="I37">
        <v>12</v>
      </c>
      <c r="J37">
        <v>0.13</v>
      </c>
      <c r="L37">
        <f t="shared" si="4"/>
        <v>355.78553087538091</v>
      </c>
    </row>
    <row r="38" spans="5:12">
      <c r="E38" t="s">
        <v>19</v>
      </c>
      <c r="F38" s="1"/>
      <c r="G38">
        <v>1.5699999999999999E-2</v>
      </c>
      <c r="I38">
        <v>12</v>
      </c>
      <c r="J38">
        <v>0.28999999999999998</v>
      </c>
      <c r="L38">
        <f t="shared" si="4"/>
        <v>31205.770026499889</v>
      </c>
    </row>
  </sheetData>
  <sortState xmlns:xlrd2="http://schemas.microsoft.com/office/spreadsheetml/2017/richdata2" ref="K6:K10">
    <sortCondition ref="K6:K1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17C26F839C14E89592C2B97954027" ma:contentTypeVersion="9" ma:contentTypeDescription="Create a new document." ma:contentTypeScope="" ma:versionID="0308ef322bf8318965d09fc122a34303">
  <xsd:schema xmlns:xsd="http://www.w3.org/2001/XMLSchema" xmlns:xs="http://www.w3.org/2001/XMLSchema" xmlns:p="http://schemas.microsoft.com/office/2006/metadata/properties" xmlns:ns3="fccd0b45-e24b-4649-b928-cb0e4165f334" xmlns:ns4="c39a8fb9-c9c7-419c-8768-8b81a5d91d15" targetNamespace="http://schemas.microsoft.com/office/2006/metadata/properties" ma:root="true" ma:fieldsID="513e74e47749190b2dcf0a6e99b6281d" ns3:_="" ns4:_="">
    <xsd:import namespace="fccd0b45-e24b-4649-b928-cb0e4165f334"/>
    <xsd:import namespace="c39a8fb9-c9c7-419c-8768-8b81a5d91d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0b45-e24b-4649-b928-cb0e4165f3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a8fb9-c9c7-419c-8768-8b81a5d91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cd0b45-e24b-4649-b928-cb0e4165f334" xsi:nil="true"/>
  </documentManagement>
</p:properties>
</file>

<file path=customXml/itemProps1.xml><?xml version="1.0" encoding="utf-8"?>
<ds:datastoreItem xmlns:ds="http://schemas.openxmlformats.org/officeDocument/2006/customXml" ds:itemID="{4FD5C2EF-9072-4B7B-82CF-4A8E72037487}"/>
</file>

<file path=customXml/itemProps2.xml><?xml version="1.0" encoding="utf-8"?>
<ds:datastoreItem xmlns:ds="http://schemas.openxmlformats.org/officeDocument/2006/customXml" ds:itemID="{F12E8C38-B45C-4CBD-9396-A1EB3920F054}"/>
</file>

<file path=customXml/itemProps3.xml><?xml version="1.0" encoding="utf-8"?>
<ds:datastoreItem xmlns:ds="http://schemas.openxmlformats.org/officeDocument/2006/customXml" ds:itemID="{308D4DC9-3B28-4DA8-8231-1694640AEBB9}"/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Violand, Parker J</dc:creator>
  <cp:keywords/>
  <dc:description/>
  <cp:lastModifiedBy/>
  <cp:revision/>
  <dcterms:created xsi:type="dcterms:W3CDTF">2024-11-15T18:36:41Z</dcterms:created>
  <dcterms:modified xsi:type="dcterms:W3CDTF">2025-12-29T04:33:36Z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0x010100E1217C26F839C14E89592C2B97954027</vt:lpwstr>
  </property>
</Properties>
</file>